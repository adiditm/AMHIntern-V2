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XCEL PROJECT\"/>
    </mc:Choice>
  </mc:AlternateContent>
  <bookViews>
    <workbookView xWindow="0" yWindow="0" windowWidth="20460" windowHeight="8220"/>
  </bookViews>
  <sheets>
    <sheet name="Kuitansi (terbilang)" sheetId="1" r:id="rId1"/>
    <sheet name="Rumus Terbilang" sheetId="2" r:id="rId2"/>
  </sheets>
  <externalReferences>
    <externalReference r:id="rId3"/>
  </externalReferences>
  <definedNames>
    <definedName name="idxRatusan">{"";"seratus";"dua ratus";"tiga ratus";"empat ratus";"lima ratus";"enam ratus";"tujuh ratus";"delapan ratus";"sembilan ratus"}</definedName>
    <definedName name="idxSatuSampaiDuaPuluh">{"";"satu";"dua";"tiga";"empat";"lima ";"enam";"tujuh";"delapan";"sembilan";"sepuluh";"sebelas";"dua belas";"tiga belas";"empat belas";"lima belas";"enam belas";"tujuh belas";"delapan belas";"sembilan belas";"dua puluh"}</definedName>
    <definedName name="InvoiceTotal">[1]Invoice!$E$37</definedName>
    <definedName name="juta">" "&amp;INDEX(idxRatusan,--LEFT(TEXT(RIGHT(nilai,9),REPT("0",9)),1)+1)&amp;" "&amp;IF((--MID(TEXT(RIGHT(nilai,9),REPT("0",9)),2,2)+1)&lt;=20,IF(--LEFT(TEXT(RIGHT(nilai,9),REPT("0",9)),3)=1," satu juta",INDEX(idxSatuSampaiDuaPuluh,--LEFT(TEXT(RIGHT(nilai,8),REPT("0",8)),2)+1)),INDEX(idxSatuSampaiDuaPuluh,--LEFT(RIGHT(nilai,8),1)+1)&amp;" puluh "&amp;INDEX(idxSatuSampaiDuaPuluh,--LEFT(RIGHT(nilai,7),1)+1))&amp;IF(OR(LEN(nilai)&lt;=6,--LEFT(TEXT(RIGHT(nilai,9),REPT("0",9)),3)={0;1}),""," juta")</definedName>
    <definedName name="juta2">" "&amp;INDEX(idxRatusan,--LEFT(TEXT(RIGHT(nilai,9),REPT("0",9)),1)+1)&amp;" "&amp;IF((--MID(TEXT(RIGHT(nilai,9),REPT("0",9)),2,2)+1)&lt;=20,IF(--LEFT(TEXT(RIGHT(nilai,9),REPT("0",9)),3)=1," satu juta / ",INDEX(idxSatuSampaiDuaPuluh,--LEFT(TEXT(RIGHT(nilai,8),REPT("0",8)),2)+1)),INDEX(idxSatuSampaiDuaPuluh,--LEFT(RIGHT(nilai,8),1)+1)&amp;" puluh "&amp;INDEX(idxSatuSampaiDuaPuluh,--LEFT(RIGHT(nilai,7),1)+1))&amp;IF(OR(LEN(nilai)&lt;=6,--LEFT(TEXT(RIGHT(nilai,9),REPT("0",9)),3)={0;1}),""," juta / ")</definedName>
    <definedName name="juta3">" "&amp;INDEX(idxRatusan,--LEFT(TEXT(RIGHT('Kuitansi (terbilang)'!XFD1,9),REPT("0",9)),1)+1)&amp;" "&amp;IF((--MID(TEXT(RIGHT('Kuitansi (terbilang)'!XFD1,9),REPT("0",9)),2,2)+1)&lt;=20,IF(--LEFT(TEXT(RIGHT('Kuitansi (terbilang)'!XFD1,9),REPT("0",9)),3)=1," satu juta",INDEX(idxSatuSampaiDuaPuluh,--LEFT(TEXT(RIGHT('Kuitansi (terbilang)'!XFD1,8),REPT("0",8)),2)+1)),INDEX(idxSatuSampaiDuaPuluh,--LEFT(RIGHT('Kuitansi (terbilang)'!XFD1,8),1)+1)&amp;" puluh "&amp;INDEX(idxSatuSampaiDuaPuluh,--LEFT(RIGHT('Kuitansi (terbilang)'!XFD1,7),1)+1))&amp;IF(OR(LEN('Kuitansi (terbilang)'!XFD1)&lt;=6,--LEFT(TEXT(RIGHT('Kuitansi (terbilang)'!XFD1,9),REPT("0",9)),3)={0;1}),""," juta")</definedName>
    <definedName name="juta4">" "&amp;INDEX(idxRatusan,--LEFT(TEXT(RIGHT('Kuitansi (terbilang)'!XFD1,9),REPT("0",9)),1)+1)&amp;" "&amp;IF((--MID(TEXT(RIGHT('Kuitansi (terbilang)'!XFD1,9),REPT("0",9)),2,2)+1)&lt;=20,IF(--LEFT(TEXT(RIGHT('Kuitansi (terbilang)'!XFD1,9),REPT("0",9)),3)=1," satu juta / ",INDEX(idxSatuSampaiDuaPuluh,--LEFT(TEXT(RIGHT('Kuitansi (terbilang)'!XFD1,8),REPT("0",8)),2)+1)),INDEX(idxSatuSampaiDuaPuluh,--LEFT(RIGHT('Kuitansi (terbilang)'!XFD1,8),1)+1)&amp;" puluh "&amp;INDEX(idxSatuSampaiDuaPuluh,--LEFT(RIGHT('Kuitansi (terbilang)'!XFD1,7),1)+1))&amp;IF(OR(LEN('Kuitansi (terbilang)'!XFD1)&lt;=6,--LEFT(TEXT(RIGHT('Kuitansi (terbilang)'!XFD1,9),REPT("0",9)),3)={0;1}),""," juta / ")</definedName>
    <definedName name="milyar">" "&amp;INDEX(idxRatusan,--LEFT(TEXT(RIGHT(nilai,12),REPT("0",12)),1)+1)&amp;" "&amp;IF((--MID(TEXT(RIGHT(nilai,12),REPT("0",12)),2,2)+1)&lt;=20,IF(--LEFT(TEXT(RIGHT(nilai,12),REPT("0",12)),3)=1," satu milyar",INDEX(idxSatuSampaiDuaPuluh,--LEFT(TEXT(RIGHT(nilai,11),REPT("0",11)),2)+1)),INDEX(idxSatuSampaiDuaPuluh,--LEFT(RIGHT(nilai,11),1)+1)&amp;" puluh "&amp;INDEX(idxSatuSampaiDuaPuluh,--LEFT(RIGHT(nilai,10),1)+1))&amp;IF(OR(LEN(nilai)&lt;=9,--LEFT(TEXT(RIGHT(nilai,12),REPT("0",12)),3)={0;1}),""," milyar")</definedName>
    <definedName name="milyar2">" "&amp;INDEX(idxRatusan,--LEFT(TEXT(RIGHT(nilai,12),REPT("0",12)),1)+1)&amp;" "&amp;IF((--MID(TEXT(RIGHT(nilai,12),REPT("0",12)),2,2)+1)&lt;=20,IF(--LEFT(TEXT(RIGHT(nilai,12),REPT("0",12)),3)=1," satu milyar / ",INDEX(idxSatuSampaiDuaPuluh,--LEFT(TEXT(RIGHT(nilai,11),REPT("0",11)),2)+1)),INDEX(idxSatuSampaiDuaPuluh,--LEFT(RIGHT(nilai,11),1)+1)&amp;" puluh "&amp;INDEX(idxSatuSampaiDuaPuluh,--LEFT(RIGHT(nilai,10),1)+1))&amp;IF(OR(LEN(nilai)&lt;=9,--LEFT(TEXT(RIGHT(nilai,12),REPT("0",12)),3)={0;1}),""," milyar / ")</definedName>
    <definedName name="milyar3">" "&amp;INDEX(idxRatusan,--LEFT(TEXT(RIGHT('Kuitansi (terbilang)'!XFD1,12),REPT("0",12)),1)+1)&amp;" "&amp;IF((--MID(TEXT(RIGHT('Kuitansi (terbilang)'!XFD1,12),REPT("0",12)),2,2)+1)&lt;=20,IF(--LEFT(TEXT(RIGHT('Kuitansi (terbilang)'!XFD1,12),REPT("0",12)),3)=1," satu milyar",INDEX(idxSatuSampaiDuaPuluh,--LEFT(TEXT(RIGHT('Kuitansi (terbilang)'!XFD1,11),REPT("0",11)),2)+1)),INDEX(idxSatuSampaiDuaPuluh,--LEFT(RIGHT('Kuitansi (terbilang)'!XFD1,11),1)+1)&amp;" puluh "&amp;INDEX(idxSatuSampaiDuaPuluh,--LEFT(RIGHT('Kuitansi (terbilang)'!XFD1,10),1)+1))&amp;IF(OR(LEN('Kuitansi (terbilang)'!XFD1)&lt;=9,--LEFT(TEXT(RIGHT('Kuitansi (terbilang)'!XFD1,12),REPT("0",12)),3)={0;1}),""," milyar")</definedName>
    <definedName name="milyar4">" "&amp;INDEX(idxRatusan,--LEFT(TEXT(RIGHT('Kuitansi (terbilang)'!XFD1,12),REPT("0",12)),1)+1)&amp;" "&amp;IF((--MID(TEXT(RIGHT('Kuitansi (terbilang)'!XFD1,12),REPT("0",12)),2,2)+1)&lt;=20,IF(--LEFT(TEXT(RIGHT('Kuitansi (terbilang)'!XFD1,12),REPT("0",12)),3)=1," satu milyar / ",INDEX(idxSatuSampaiDuaPuluh,--LEFT(TEXT(RIGHT('Kuitansi (terbilang)'!XFD1,11),REPT("0",11)),2)+1)),INDEX(idxSatuSampaiDuaPuluh,--LEFT(RIGHT('Kuitansi (terbilang)'!XFD1,11),1)+1)&amp;" puluh "&amp;INDEX(idxSatuSampaiDuaPuluh,--LEFT(RIGHT('Kuitansi (terbilang)'!XFD1,10),1)+1))&amp;IF(OR(LEN('Kuitansi (terbilang)'!XFD1)&lt;=9,--LEFT(TEXT(RIGHT('Kuitansi (terbilang)'!XFD1,12),REPT("0",12)),3)={0;1}),""," milyar / ")</definedName>
    <definedName name="nilai">'Kuitansi (terbilang)'!$G$22</definedName>
    <definedName name="_xlnm.Print_Area" localSheetId="0">'Kuitansi (terbilang)'!$A$1:$BV$26</definedName>
    <definedName name="ratus">" "&amp;INDEX(idxRatusan,--LEFT(TEXT(RIGHT(nilai,3),"000"),1)+1)&amp;" "&amp;IF(--RIGHT(nilai,2)&lt;=20,INDEX(idxSatuSampaiDuaPuluh,--LEFT(RIGHT(nilai,2),2)+1),INDEX(idxSatuSampaiDuaPuluh,--LEFT(RIGHT(nilai,2),1)+1)&amp;" puluh "&amp;INDEX(idxSatuSampaiDuaPuluh,--RIGHT(nilai,1)+1))</definedName>
    <definedName name="ratus2">" "&amp;INDEX(idxRatusan,--LEFT(TEXT(RIGHT(nilai,3),"000"),1)+1)&amp;" "&amp;IF(--RIGHT(nilai,2)&lt;=20,INDEX(idxSatuSampaiDuaPuluh,--LEFT(RIGHT(nilai,2),2)+1),INDEX(idxSatuSampaiDuaPuluh,--LEFT(RIGHT(nilai,2),1)+1)&amp;" puluh "&amp;INDEX(idxSatuSampaiDuaPuluh,--RIGHT(nilai,1)+1))</definedName>
    <definedName name="ratus3">" "&amp;INDEX(idxRatusan,--LEFT(TEXT(RIGHT('Kuitansi (terbilang)'!XFD1,3),"000"),1)+1)&amp;" "&amp;IF(--RIGHT('Kuitansi (terbilang)'!XFD1,2)&lt;=20,INDEX(idxSatuSampaiDuaPuluh,--LEFT(RIGHT('Kuitansi (terbilang)'!XFD1,2),2)+1),INDEX(idxSatuSampaiDuaPuluh,--LEFT(RIGHT('Kuitansi (terbilang)'!XFD1,2),1)+1)&amp;" puluh "&amp;INDEX(idxSatuSampaiDuaPuluh,--RIGHT('Kuitansi (terbilang)'!XFD1,1)+1))</definedName>
    <definedName name="ratus4">" "&amp;INDEX(idxRatusan,--LEFT(TEXT(RIGHT('Kuitansi (terbilang)'!XFD1,3),"000"),1)+1)&amp;" "&amp;IF(--RIGHT('Kuitansi (terbilang)'!XFD1,2)&lt;=20,INDEX(idxSatuSampaiDuaPuluh,--LEFT(RIGHT('Kuitansi (terbilang)'!XFD1,2),2)+1),INDEX(idxSatuSampaiDuaPuluh,--LEFT(RIGHT('Kuitansi (terbilang)'!XFD1,2),1)+1)&amp;" puluh "&amp;INDEX(idxSatuSampaiDuaPuluh,--RIGHT('Kuitansi (terbilang)'!XFD1,1)+1))</definedName>
    <definedName name="ribu">" "&amp;INDEX(idxRatusan,--LEFT(TEXT(RIGHT(nilai,6),REPT("0",6)),1)+1)&amp;" "&amp;IF((--MID(TEXT(RIGHT(nilai,6),REPT("0",6)),2,2)+1)&lt;=20,IF(--LEFT(TEXT(RIGHT(nilai,6),REPT("0",6)),3)=1," seribu",INDEX(idxSatuSampaiDuaPuluh,--LEFT(TEXT(RIGHT(nilai,5),REPT("0",5)),2)+1)),INDEX(idxSatuSampaiDuaPuluh,--LEFT(RIGHT(nilai,5),1)+1)&amp;" puluh "&amp;INDEX(idxSatuSampaiDuaPuluh,--LEFT(RIGHT(nilai,4),1)+1))&amp;IF(OR(LEN(nilai)&lt;=3,--LEFT(TEXT(RIGHT(nilai,6),REPT("0",6)),3)={0;1}),""," ribu")</definedName>
    <definedName name="ribu2">" "&amp;INDEX(idxRatusan,--LEFT(TEXT(RIGHT(nilai,6),REPT("0",6)),1)+1)&amp;" "&amp;IF((--MID(TEXT(RIGHT(nilai,6),REPT("0",6)),2,2)+1)&lt;=20,IF(--LEFT(TEXT(RIGHT(nilai,6),REPT("0",6)),3)=1," seribu / ",INDEX(idxSatuSampaiDuaPuluh,--LEFT(TEXT(RIGHT(nilai,5),REPT("0",5)),2)+1)),INDEX(idxSatuSampaiDuaPuluh,--LEFT(RIGHT(nilai,5),1)+1)&amp;" puluh "&amp;INDEX(idxSatuSampaiDuaPuluh,--LEFT(RIGHT(nilai,4),1)+1))&amp;IF(OR(LEN(nilai)&lt;=3,--LEFT(TEXT(RIGHT(nilai,6),REPT("0",6)),3)={0;1}),""," ribu / ")</definedName>
    <definedName name="ribu3">" "&amp;INDEX(idxRatusan,--LEFT(TEXT(RIGHT('Kuitansi (terbilang)'!XFD1,6),REPT("0",6)),1)+1)&amp;" "&amp;IF((--MID(TEXT(RIGHT('Kuitansi (terbilang)'!XFD1,6),REPT("0",6)),2,2)+1)&lt;=20,IF(--LEFT(TEXT(RIGHT('Kuitansi (terbilang)'!XFD1,6),REPT("0",6)),3)=1," seribu",INDEX(idxSatuSampaiDuaPuluh,--LEFT(TEXT(RIGHT('Kuitansi (terbilang)'!XFD1,5),REPT("0",5)),2)+1)),INDEX(idxSatuSampaiDuaPuluh,--LEFT(RIGHT('Kuitansi (terbilang)'!XFD1,5),1)+1)&amp;" puluh "&amp;INDEX(idxSatuSampaiDuaPuluh,--LEFT(RIGHT('Kuitansi (terbilang)'!XFD1,4),1)+1))&amp;IF(OR(LEN('Kuitansi (terbilang)'!XFD1)&lt;=3,--LEFT(TEXT(RIGHT('Kuitansi (terbilang)'!XFD1,6),REPT("0",6)),3)={0;1}),""," ribu")</definedName>
    <definedName name="ribu4">" "&amp;INDEX(idxRatusan,--LEFT(TEXT(RIGHT('Kuitansi (terbilang)'!XFD1,6),REPT("0",6)),1)+1)&amp;" "&amp;IF((--MID(TEXT(RIGHT('Kuitansi (terbilang)'!XFD1,6),REPT("0",6)),2,2)+1)&lt;=20,IF(--LEFT(TEXT(RIGHT('Kuitansi (terbilang)'!XFD1,6),REPT("0",6)),3)=1," seribu / ",INDEX(idxSatuSampaiDuaPuluh,--LEFT(TEXT(RIGHT('Kuitansi (terbilang)'!XFD1,5),REPT("0",5)),2)+1)),INDEX(idxSatuSampaiDuaPuluh,--LEFT(RIGHT('Kuitansi (terbilang)'!XFD1,5),1)+1)&amp;" puluh "&amp;INDEX(idxSatuSampaiDuaPuluh,--LEFT(RIGHT('Kuitansi (terbilang)'!XFD1,4),1)+1))&amp;IF(OR(LEN('Kuitansi (terbilang)'!XFD1)&lt;=3,--LEFT(TEXT(RIGHT('Kuitansi (terbilang)'!XFD1,6),REPT("0",6)),3)={0;1}),""," ribu / ")</definedName>
    <definedName name="terbilang">IF(nilai=0,"nol",IF(TYPE(nilai)=1,IF(MOD(nilai,INT(nilai))=0,TRIM(milyar&amp;juta&amp;ribu&amp;ratus),"ANGKA HARUS BILANGAN BULAT!"),"DATA TIDAK BOLEH BERTIPE TEKS!"))</definedName>
    <definedName name="terbilang2">TRIM(IF((MID(trbl2,LEN(trbl2),1))="/",LEFT(trbl2,LEN(trbl2)-1),trbl2))</definedName>
    <definedName name="terbilang3">IF('Kuitansi (terbilang)'!XFD1=0,"nol",IF(TYPE('Kuitansi (terbilang)'!XFD1)=1,IF(MOD('Kuitansi (terbilang)'!XFD1,INT('Kuitansi (terbilang)'!XFD1))=0,TRIM(milyar3&amp;juta3&amp;ribu3&amp;ratus3),"ANGKA HARUS BILANGAN BULAT!"),"DATA TIDAK BOLEH BERTIPE TEKS!"))</definedName>
    <definedName name="terbilang4">TRIM(IF((MID(trbl4,LEN(trbl4),1))="/",LEFT(trbl4,LEN(trbl4)-1),trbl4))</definedName>
    <definedName name="trbl2">IF(nilai=0,"nol",IF(TYPE(nilai)=1,IF(MOD(nilai,INT(nilai))=0,TRIM(milyar2&amp;juta2&amp;ribu2&amp;ratus2),"ANGKA HARUS BILANGAN BULAT!"),"DATA TIDAK BOLEH BERTIPE TEKS!"))</definedName>
    <definedName name="trbl4">IF('Kuitansi (terbilang)'!XFD1=0,"nol",IF(TYPE('Kuitansi (terbilang)'!XFD1)=1,IF(MOD('Kuitansi (terbilang)'!XFD1,INT('Kuitansi (terbilang)'!XFD1))=0,TRIM(milyar4&amp;juta4&amp;ribu4&amp;ratus4),"ANGKA HARUS BILANGAN BULAT!"),"DATA TIDAK BOLEH BERTIPE TEKS!"))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2" l="1"/>
  <c r="F12" i="2" s="1"/>
  <c r="C12" i="2" l="1"/>
  <c r="D12" i="2"/>
  <c r="F15" i="2"/>
  <c r="F14" i="2"/>
  <c r="F13" i="2"/>
  <c r="E12" i="2"/>
  <c r="C13" i="2" l="1"/>
  <c r="F16" i="2"/>
  <c r="F17" i="2" s="1"/>
  <c r="D14" i="2"/>
  <c r="D15" i="2"/>
  <c r="C14" i="2"/>
  <c r="C15" i="2"/>
  <c r="D13" i="2"/>
  <c r="E14" i="2"/>
  <c r="E13" i="2"/>
  <c r="E15" i="2"/>
  <c r="D16" i="2" l="1"/>
  <c r="D17" i="2" s="1"/>
  <c r="C16" i="2"/>
  <c r="C17" i="2" s="1"/>
  <c r="E16" i="2"/>
  <c r="E17" i="2" s="1"/>
  <c r="C4" i="2" l="1"/>
  <c r="Q11" i="1" s="1"/>
</calcChain>
</file>

<file path=xl/comments1.xml><?xml version="1.0" encoding="utf-8"?>
<comments xmlns="http://schemas.openxmlformats.org/spreadsheetml/2006/main">
  <authors>
    <author>user</author>
  </authors>
  <commentList>
    <comment ref="G22" authorId="0" shapeId="0">
      <text>
        <r>
          <rPr>
            <b/>
            <sz val="16"/>
            <color indexed="81"/>
            <rFont val="Tahoma"/>
            <family val="2"/>
          </rPr>
          <t>Isikan nominal kwitansi di sini.</t>
        </r>
      </text>
    </comment>
  </commentList>
</comments>
</file>

<file path=xl/sharedStrings.xml><?xml version="1.0" encoding="utf-8"?>
<sst xmlns="http://schemas.openxmlformats.org/spreadsheetml/2006/main" count="57" uniqueCount="54">
  <si>
    <t>NO.</t>
  </si>
  <si>
    <t>KWITANSI</t>
  </si>
  <si>
    <t>Telah terima dari</t>
  </si>
  <si>
    <t>:</t>
  </si>
  <si>
    <t>Uang sejumlah</t>
  </si>
  <si>
    <t>Untuk Pembayaran</t>
  </si>
  <si>
    <t>Rp</t>
  </si>
  <si>
    <t>(</t>
  </si>
  <si>
    <t>)</t>
  </si>
  <si>
    <t>RUMUS TERBILANG TANPA MACRO BY EXCELKU.COM</t>
  </si>
  <si>
    <t>Nilai</t>
  </si>
  <si>
    <t>Terbilang</t>
  </si>
  <si>
    <t xml:space="preserve"> </t>
  </si>
  <si>
    <t>Milyar</t>
  </si>
  <si>
    <t>Jutaan</t>
  </si>
  <si>
    <t>Ratusan Ribu
s.d. Ribuan</t>
  </si>
  <si>
    <t>Ratusan 
s.d. Satuan</t>
  </si>
  <si>
    <t>Posisi</t>
  </si>
  <si>
    <t>Digit</t>
  </si>
  <si>
    <t>NILAI</t>
  </si>
  <si>
    <t>Ratusan</t>
  </si>
  <si>
    <t>Puluhan</t>
  </si>
  <si>
    <t>Belasan &amp; Satuan</t>
  </si>
  <si>
    <t>Tahap 1</t>
  </si>
  <si>
    <t>Tahap 2</t>
  </si>
  <si>
    <t xml:space="preserve">Angka        </t>
  </si>
  <si>
    <t>satu</t>
  </si>
  <si>
    <t>dua</t>
  </si>
  <si>
    <t>tiga</t>
  </si>
  <si>
    <t>empat</t>
  </si>
  <si>
    <t>lima</t>
  </si>
  <si>
    <t>enam</t>
  </si>
  <si>
    <t>tujuh</t>
  </si>
  <si>
    <t>delapan</t>
  </si>
  <si>
    <t>sembilan</t>
  </si>
  <si>
    <t>sepuluh</t>
  </si>
  <si>
    <t>sebelas</t>
  </si>
  <si>
    <t>dua belas</t>
  </si>
  <si>
    <t>tiga belas</t>
  </si>
  <si>
    <t>empat belas</t>
  </si>
  <si>
    <t>lima belas</t>
  </si>
  <si>
    <t>enam belas</t>
  </si>
  <si>
    <t>tujuh belas</t>
  </si>
  <si>
    <t>delapan belas</t>
  </si>
  <si>
    <t>sembilan belas</t>
  </si>
  <si>
    <t>PT BELY BELY</t>
  </si>
  <si>
    <t>JeJe</t>
  </si>
  <si>
    <t>PT Jeuwal Jeuwal</t>
  </si>
  <si>
    <t>Mr. Su Par Man</t>
  </si>
  <si>
    <t>Jaykartah, 31 Desember 2015</t>
  </si>
  <si>
    <t>Jeuwal Tower Lt. 45, Jl. Kebersamaan Kav. 17, Jaykartah.
No. Telp. (099) 123 9911 | No. Fax. (099) 123 9999</t>
  </si>
  <si>
    <t>Pelunasan Produk ACB seri A123 sebanyak 2 buah (Invoice No. F6789)</t>
  </si>
  <si>
    <t>Menejer Keuangan</t>
  </si>
  <si>
    <t>EXCELKU.COM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</si>
</sst>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5" x14ac:knownFonts="1">
    <font>
      <sz val="11"/>
      <color theme="1"/>
      <name val="Calibri"/>
      <family val="2"/>
      <scheme val="minor"/>
    </font>
    <font>
      <sz val="11"/>
      <color indexed="8"/>
      <name val="Georgia"/>
      <family val="1"/>
    </font>
    <font>
      <sz val="11"/>
      <color indexed="8"/>
      <name val="Calibri"/>
      <family val="2"/>
    </font>
    <font>
      <sz val="18"/>
      <color indexed="8"/>
      <name val="Georgia"/>
      <family val="1"/>
    </font>
    <font>
      <b/>
      <u/>
      <sz val="33"/>
      <color indexed="8"/>
      <name val="Georgia"/>
      <family val="1"/>
    </font>
    <font>
      <sz val="21"/>
      <color indexed="8"/>
      <name val="Georgia"/>
      <family val="1"/>
    </font>
    <font>
      <b/>
      <sz val="33"/>
      <color indexed="8"/>
      <name val="Courier New"/>
      <family val="3"/>
    </font>
    <font>
      <b/>
      <sz val="25"/>
      <color indexed="8"/>
      <name val="Georgia"/>
      <family val="1"/>
    </font>
    <font>
      <b/>
      <sz val="16"/>
      <color indexed="81"/>
      <name val="Tahoma"/>
      <family val="2"/>
    </font>
    <font>
      <u/>
      <sz val="42"/>
      <color indexed="8"/>
      <name val="Georgia"/>
      <family val="1"/>
    </font>
    <font>
      <b/>
      <sz val="18"/>
      <color indexed="8"/>
      <name val="Georgia"/>
      <family val="1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1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0"/>
      <color theme="0"/>
      <name val="Arial Black"/>
      <family val="2"/>
    </font>
    <font>
      <b/>
      <sz val="11"/>
      <color indexed="8"/>
      <name val="Georgia"/>
      <family val="1"/>
    </font>
    <font>
      <sz val="15"/>
      <color theme="0"/>
      <name val="Georgia"/>
      <family val="1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rgb="FF002060"/>
      </left>
      <right style="thin">
        <color theme="4"/>
      </right>
      <top style="thick">
        <color rgb="FF002060"/>
      </top>
      <bottom style="thick">
        <color rgb="FF002060"/>
      </bottom>
      <diagonal/>
    </border>
    <border>
      <left style="thin">
        <color theme="4"/>
      </left>
      <right style="thin">
        <color theme="4"/>
      </right>
      <top style="thick">
        <color rgb="FF002060"/>
      </top>
      <bottom style="thick">
        <color rgb="FF002060"/>
      </bottom>
      <diagonal/>
    </border>
    <border>
      <left style="thin">
        <color theme="4"/>
      </left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 style="thick">
        <color theme="0" tint="-0.499984740745262"/>
      </left>
      <right style="thin">
        <color theme="4"/>
      </right>
      <top style="thick">
        <color rgb="FF002060"/>
      </top>
      <bottom style="thick">
        <color theme="0" tint="-0.499984740745262"/>
      </bottom>
      <diagonal/>
    </border>
    <border>
      <left style="thin">
        <color theme="4"/>
      </left>
      <right style="thin">
        <color theme="4"/>
      </right>
      <top style="thick">
        <color rgb="FF002060"/>
      </top>
      <bottom style="thick">
        <color theme="0" tint="-0.499984740745262"/>
      </bottom>
      <diagonal/>
    </border>
    <border>
      <left style="thin">
        <color theme="4"/>
      </left>
      <right style="thick">
        <color theme="0" tint="-0.499984740745262"/>
      </right>
      <top style="thick">
        <color rgb="FF002060"/>
      </top>
      <bottom style="thick">
        <color theme="0" tint="-0.499984740745262"/>
      </bottom>
      <diagonal/>
    </border>
    <border>
      <left style="thick">
        <color theme="0" tint="-0.34998626667073579"/>
      </left>
      <right style="thin">
        <color theme="4"/>
      </right>
      <top style="thick">
        <color theme="0" tint="-0.499984740745262"/>
      </top>
      <bottom style="thick">
        <color theme="0" tint="-0.34998626667073579"/>
      </bottom>
      <diagonal/>
    </border>
    <border>
      <left style="thin">
        <color theme="4"/>
      </left>
      <right style="thin">
        <color theme="4"/>
      </right>
      <top style="thick">
        <color theme="0" tint="-0.499984740745262"/>
      </top>
      <bottom style="thick">
        <color theme="0" tint="-0.34998626667073579"/>
      </bottom>
      <diagonal/>
    </border>
    <border>
      <left style="thin">
        <color theme="4"/>
      </left>
      <right style="thick">
        <color theme="0" tint="-0.34998626667073579"/>
      </right>
      <top style="thick">
        <color theme="0" tint="-0.499984740745262"/>
      </top>
      <bottom style="thick">
        <color theme="0" tint="-0.34998626667073579"/>
      </bottom>
      <diagonal/>
    </border>
    <border>
      <left style="thick">
        <color rgb="FFFFFF00"/>
      </left>
      <right style="thin">
        <color theme="4"/>
      </right>
      <top style="thick">
        <color theme="0" tint="-0.34998626667073579"/>
      </top>
      <bottom style="thick">
        <color rgb="FFFFFF00"/>
      </bottom>
      <diagonal/>
    </border>
    <border>
      <left style="thin">
        <color theme="4"/>
      </left>
      <right style="thin">
        <color theme="4"/>
      </right>
      <top style="thick">
        <color theme="0" tint="-0.34998626667073579"/>
      </top>
      <bottom style="thick">
        <color rgb="FFFFFF00"/>
      </bottom>
      <diagonal/>
    </border>
    <border>
      <left style="thin">
        <color theme="4"/>
      </left>
      <right style="thick">
        <color rgb="FFFFFF00"/>
      </right>
      <top style="thick">
        <color theme="0" tint="-0.34998626667073579"/>
      </top>
      <bottom style="thick">
        <color rgb="FFFFFF00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7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0" fillId="0" borderId="0" xfId="0" applyFont="1"/>
    <xf numFmtId="164" fontId="0" fillId="0" borderId="0" xfId="2" applyNumberFormat="1" applyFont="1"/>
    <xf numFmtId="0" fontId="16" fillId="4" borderId="0" xfId="0" applyFont="1" applyFill="1" applyAlignment="1">
      <alignment vertical="center"/>
    </xf>
    <xf numFmtId="164" fontId="16" fillId="5" borderId="0" xfId="2" applyNumberFormat="1" applyFont="1" applyFill="1" applyAlignment="1">
      <alignment vertical="center"/>
    </xf>
    <xf numFmtId="164" fontId="17" fillId="0" borderId="0" xfId="2" applyNumberFormat="1" applyFont="1"/>
    <xf numFmtId="164" fontId="20" fillId="10" borderId="12" xfId="2" applyNumberFormat="1" applyFont="1" applyFill="1" applyBorder="1" applyAlignment="1">
      <alignment horizontal="right"/>
    </xf>
    <xf numFmtId="164" fontId="20" fillId="10" borderId="13" xfId="2" applyNumberFormat="1" applyFont="1" applyFill="1" applyBorder="1" applyAlignment="1">
      <alignment horizontal="right"/>
    </xf>
    <xf numFmtId="164" fontId="20" fillId="10" borderId="13" xfId="2" applyNumberFormat="1" applyFont="1" applyFill="1" applyBorder="1" applyAlignment="1">
      <alignment horizontal="right" wrapText="1"/>
    </xf>
    <xf numFmtId="164" fontId="20" fillId="10" borderId="14" xfId="2" applyNumberFormat="1" applyFont="1" applyFill="1" applyBorder="1" applyAlignment="1">
      <alignment horizontal="right" wrapText="1"/>
    </xf>
    <xf numFmtId="164" fontId="12" fillId="11" borderId="15" xfId="2" applyNumberFormat="1" applyFont="1" applyFill="1" applyBorder="1"/>
    <xf numFmtId="164" fontId="14" fillId="11" borderId="16" xfId="2" applyNumberFormat="1" applyFont="1" applyFill="1" applyBorder="1"/>
    <xf numFmtId="164" fontId="14" fillId="11" borderId="17" xfId="2" applyNumberFormat="1" applyFont="1" applyFill="1" applyBorder="1"/>
    <xf numFmtId="164" fontId="12" fillId="12" borderId="18" xfId="2" applyNumberFormat="1" applyFont="1" applyFill="1" applyBorder="1"/>
    <xf numFmtId="164" fontId="14" fillId="12" borderId="19" xfId="2" applyNumberFormat="1" applyFont="1" applyFill="1" applyBorder="1"/>
    <xf numFmtId="164" fontId="14" fillId="12" borderId="20" xfId="2" applyNumberFormat="1" applyFont="1" applyFill="1" applyBorder="1"/>
    <xf numFmtId="164" fontId="21" fillId="5" borderId="21" xfId="2" applyNumberFormat="1" applyFont="1" applyFill="1" applyBorder="1"/>
    <xf numFmtId="164" fontId="21" fillId="5" borderId="22" xfId="2" applyNumberFormat="1" applyFont="1" applyFill="1" applyBorder="1"/>
    <xf numFmtId="164" fontId="21" fillId="5" borderId="23" xfId="2" applyNumberFormat="1" applyFont="1" applyFill="1" applyBorder="1"/>
    <xf numFmtId="164" fontId="13" fillId="0" borderId="24" xfId="2" applyNumberFormat="1" applyFont="1" applyBorder="1"/>
    <xf numFmtId="164" fontId="0" fillId="0" borderId="24" xfId="2" applyNumberFormat="1" applyFont="1" applyBorder="1"/>
    <xf numFmtId="164" fontId="13" fillId="0" borderId="25" xfId="2" applyNumberFormat="1" applyFont="1" applyBorder="1"/>
    <xf numFmtId="164" fontId="0" fillId="0" borderId="25" xfId="2" applyNumberFormat="1" applyFont="1" applyBorder="1"/>
    <xf numFmtId="164" fontId="13" fillId="13" borderId="25" xfId="2" applyNumberFormat="1" applyFont="1" applyFill="1" applyBorder="1" applyAlignment="1">
      <alignment horizontal="left" vertical="top"/>
    </xf>
    <xf numFmtId="164" fontId="0" fillId="13" borderId="25" xfId="2" applyNumberFormat="1" applyFont="1" applyFill="1" applyBorder="1" applyAlignment="1">
      <alignment horizontal="right" vertical="top" wrapText="1"/>
    </xf>
    <xf numFmtId="164" fontId="13" fillId="14" borderId="25" xfId="2" applyNumberFormat="1" applyFont="1" applyFill="1" applyBorder="1" applyAlignment="1">
      <alignment horizontal="left" vertical="top"/>
    </xf>
    <xf numFmtId="164" fontId="0" fillId="14" borderId="25" xfId="2" applyNumberFormat="1" applyFont="1" applyFill="1" applyBorder="1" applyAlignment="1">
      <alignment horizontal="right" vertical="top" wrapText="1"/>
    </xf>
    <xf numFmtId="0" fontId="13" fillId="0" borderId="0" xfId="0" applyFont="1" applyAlignment="1">
      <alignment horizontal="right"/>
    </xf>
    <xf numFmtId="164" fontId="13" fillId="0" borderId="0" xfId="2" applyNumberFormat="1" applyFont="1"/>
    <xf numFmtId="0" fontId="3" fillId="0" borderId="1" xfId="0" applyFont="1" applyBorder="1" applyAlignment="1">
      <alignment vertical="center"/>
    </xf>
    <xf numFmtId="0" fontId="23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6" xfId="0" applyFont="1" applyBorder="1" applyAlignment="1">
      <alignment horizontal="center" vertical="center"/>
    </xf>
    <xf numFmtId="0" fontId="24" fillId="10" borderId="4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0" fillId="2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/>
    </xf>
    <xf numFmtId="0" fontId="22" fillId="4" borderId="8" xfId="0" applyFont="1" applyFill="1" applyBorder="1" applyAlignment="1">
      <alignment horizontal="center" vertical="center"/>
    </xf>
    <xf numFmtId="0" fontId="22" fillId="4" borderId="0" xfId="0" applyFont="1" applyFill="1" applyBorder="1" applyAlignment="1">
      <alignment horizontal="center" vertical="center"/>
    </xf>
    <xf numFmtId="0" fontId="22" fillId="4" borderId="10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164" fontId="7" fillId="2" borderId="3" xfId="1" applyNumberFormat="1" applyFont="1" applyFill="1" applyBorder="1" applyAlignment="1">
      <alignment horizontal="center" vertical="center"/>
    </xf>
    <xf numFmtId="43" fontId="3" fillId="0" borderId="0" xfId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top"/>
    </xf>
    <xf numFmtId="0" fontId="15" fillId="7" borderId="0" xfId="0" applyFont="1" applyFill="1" applyAlignment="1">
      <alignment horizontal="center"/>
    </xf>
    <xf numFmtId="0" fontId="18" fillId="8" borderId="0" xfId="0" applyFont="1" applyFill="1" applyAlignment="1">
      <alignment horizontal="left" vertical="center"/>
    </xf>
    <xf numFmtId="0" fontId="19" fillId="9" borderId="0" xfId="2" applyNumberFormat="1" applyFont="1" applyFill="1" applyAlignment="1">
      <alignment horizontal="left" vertical="center" wrapText="1"/>
    </xf>
  </cellXfs>
  <cellStyles count="3">
    <cellStyle name="Comma" xfId="1" builtinId="3"/>
    <cellStyle name="Comma 2" xfId="2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Excelku.com%20-%20Rumus%20Terbilang%20Tanpa%20Mac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Rumus Terbilang"/>
    </sheetNames>
    <sheetDataSet>
      <sheetData sheetId="0">
        <row r="37">
          <cell r="E37">
            <v>49970000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id="1" name="tblTerbilang" displayName="tblTerbilang" ref="B24:C44" totalsRowShown="0" headerRowDxfId="3" dataDxfId="2">
  <autoFilter ref="B24:C44"/>
  <tableColumns count="2">
    <tableColumn id="1" name="Angka        " dataDxfId="1"/>
    <tableColumn id="2" name="Terbilang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62"/>
    <pageSetUpPr fitToPage="1"/>
  </sheetPr>
  <dimension ref="A1:CK27"/>
  <sheetViews>
    <sheetView showGridLines="0" showRowColHeaders="0" tabSelected="1" zoomScale="48" zoomScaleNormal="48" zoomScaleSheetLayoutView="55" workbookViewId="0">
      <selection activeCell="BW27" sqref="BW27"/>
    </sheetView>
  </sheetViews>
  <sheetFormatPr defaultColWidth="0" defaultRowHeight="30.75" customHeight="1" zeroHeight="1" x14ac:dyDescent="0.25"/>
  <cols>
    <col min="1" max="75" width="2.7109375" style="1" customWidth="1"/>
    <col min="76" max="77" width="2.7109375" style="1" hidden="1" customWidth="1"/>
    <col min="78" max="16384" width="0" style="1" hidden="1"/>
  </cols>
  <sheetData>
    <row r="1" spans="1:89" ht="30.75" customHeight="1" thickTop="1" x14ac:dyDescent="0.25">
      <c r="A1" s="52" t="s">
        <v>46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8" t="s">
        <v>47</v>
      </c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9"/>
    </row>
    <row r="2" spans="1:89" ht="30.75" customHeight="1" x14ac:dyDescent="0.2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1"/>
    </row>
    <row r="3" spans="1:89" ht="30.75" customHeight="1" x14ac:dyDescent="0.25">
      <c r="A3" s="54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62" t="s">
        <v>50</v>
      </c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3"/>
      <c r="BN3" s="63"/>
      <c r="BO3" s="63"/>
      <c r="BP3" s="63"/>
      <c r="BQ3" s="63"/>
      <c r="BR3" s="63"/>
      <c r="BS3" s="63"/>
      <c r="BT3" s="63"/>
      <c r="BU3" s="63"/>
      <c r="BV3" s="64"/>
    </row>
    <row r="4" spans="1:89" ht="30.75" customHeight="1" x14ac:dyDescent="0.25">
      <c r="A4" s="54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64"/>
    </row>
    <row r="5" spans="1:89" ht="30.75" customHeight="1" thickBot="1" x14ac:dyDescent="0.3">
      <c r="A5" s="56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6"/>
    </row>
    <row r="6" spans="1:89" ht="15" thickTop="1" x14ac:dyDescent="0.25">
      <c r="A6" s="6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7"/>
    </row>
    <row r="7" spans="1:89" ht="30.75" customHeight="1" x14ac:dyDescent="0.35">
      <c r="A7" s="6"/>
      <c r="B7" s="3"/>
      <c r="C7" s="70" t="s">
        <v>0</v>
      </c>
      <c r="D7" s="70"/>
      <c r="E7" s="70"/>
      <c r="F7" s="71">
        <v>15123</v>
      </c>
      <c r="G7" s="71"/>
      <c r="H7" s="71"/>
      <c r="I7" s="71"/>
      <c r="J7" s="71"/>
      <c r="K7" s="71"/>
      <c r="L7" s="71"/>
      <c r="M7" s="71"/>
      <c r="N7" s="71"/>
      <c r="O7" s="71"/>
      <c r="P7" s="5"/>
      <c r="Q7" s="72" t="s">
        <v>1</v>
      </c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10"/>
      <c r="BV7" s="7"/>
    </row>
    <row r="8" spans="1:89" ht="30.75" customHeight="1" x14ac:dyDescent="0.25">
      <c r="A8" s="6"/>
      <c r="B8" s="3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72"/>
      <c r="BR8" s="72"/>
      <c r="BS8" s="72"/>
      <c r="BT8" s="72"/>
      <c r="BU8" s="10"/>
      <c r="BV8" s="7"/>
    </row>
    <row r="9" spans="1:89" ht="30.75" customHeight="1" x14ac:dyDescent="0.25">
      <c r="A9" s="6"/>
      <c r="B9" s="3"/>
      <c r="C9" s="5" t="s">
        <v>2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 t="s">
        <v>3</v>
      </c>
      <c r="Q9" s="44" t="s">
        <v>45</v>
      </c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5"/>
      <c r="BV9" s="7"/>
    </row>
    <row r="10" spans="1:89" ht="12.75" customHeight="1" x14ac:dyDescent="0.25">
      <c r="A10" s="6"/>
      <c r="B10" s="3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7"/>
    </row>
    <row r="11" spans="1:89" ht="30.75" customHeight="1" x14ac:dyDescent="0.25">
      <c r="A11" s="6"/>
      <c r="B11" s="3"/>
      <c r="C11" s="50" t="s">
        <v>4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1" t="s">
        <v>3</v>
      </c>
      <c r="Q11" s="49" t="str">
        <f>"# "&amp;PROPER('Rumus Terbilang'!C4&amp;" rupiah")&amp;" #"</f>
        <v># Satu Juta Seratus Dua Puluh Satu Ribu Seratus Rupiah #</v>
      </c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12"/>
      <c r="BV11" s="7"/>
    </row>
    <row r="12" spans="1:89" ht="32.25" customHeight="1" x14ac:dyDescent="0.25">
      <c r="A12" s="6"/>
      <c r="B12" s="3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1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12"/>
      <c r="BV12" s="7"/>
      <c r="CK12" s="43"/>
    </row>
    <row r="13" spans="1:89" ht="12" customHeight="1" x14ac:dyDescent="0.25">
      <c r="A13" s="6"/>
      <c r="B13" s="3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11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7"/>
    </row>
    <row r="14" spans="1:89" ht="30.75" customHeight="1" x14ac:dyDescent="0.25">
      <c r="A14" s="6"/>
      <c r="B14" s="3"/>
      <c r="C14" s="5" t="s">
        <v>5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 t="s">
        <v>3</v>
      </c>
      <c r="Q14" s="45" t="s">
        <v>51</v>
      </c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11"/>
      <c r="BV14" s="7"/>
    </row>
    <row r="15" spans="1:89" ht="30.75" customHeight="1" x14ac:dyDescent="0.25">
      <c r="A15" s="6"/>
      <c r="B15" s="3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11"/>
      <c r="BV15" s="7"/>
    </row>
    <row r="16" spans="1:89" ht="30.75" customHeight="1" x14ac:dyDescent="0.25">
      <c r="A16" s="6"/>
      <c r="B16" s="3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67"/>
      <c r="BP16" s="67"/>
      <c r="BQ16" s="67"/>
      <c r="BR16" s="67"/>
      <c r="BS16" s="67"/>
      <c r="BT16" s="67"/>
      <c r="BU16" s="11"/>
      <c r="BV16" s="7"/>
    </row>
    <row r="17" spans="1:74" ht="30.75" customHeight="1" x14ac:dyDescent="0.25">
      <c r="A17" s="6"/>
      <c r="B17" s="3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67"/>
      <c r="BP17" s="67"/>
      <c r="BQ17" s="67"/>
      <c r="BR17" s="67"/>
      <c r="BS17" s="67"/>
      <c r="BT17" s="67"/>
      <c r="BU17" s="11"/>
      <c r="BV17" s="7"/>
    </row>
    <row r="18" spans="1:74" ht="12.75" customHeight="1" x14ac:dyDescent="0.25">
      <c r="A18" s="6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7"/>
    </row>
    <row r="19" spans="1:74" ht="12.75" customHeight="1" x14ac:dyDescent="0.25">
      <c r="A19" s="6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7"/>
    </row>
    <row r="20" spans="1:74" ht="30.75" customHeight="1" x14ac:dyDescent="0.25">
      <c r="A20" s="6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48" t="s">
        <v>49</v>
      </c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3"/>
      <c r="BR20" s="3"/>
      <c r="BS20" s="3"/>
      <c r="BT20" s="3"/>
      <c r="BU20" s="3"/>
      <c r="BV20" s="7"/>
    </row>
    <row r="21" spans="1:74" ht="31.5" customHeight="1" thickBot="1" x14ac:dyDescent="0.3">
      <c r="A21" s="6"/>
      <c r="B21" s="3"/>
      <c r="C21" s="1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7"/>
    </row>
    <row r="22" spans="1:74" ht="67.5" customHeight="1" thickBot="1" x14ac:dyDescent="0.3">
      <c r="A22" s="6"/>
      <c r="B22" s="3"/>
      <c r="C22" s="68" t="s">
        <v>6</v>
      </c>
      <c r="D22" s="68"/>
      <c r="E22" s="68"/>
      <c r="F22" s="68"/>
      <c r="G22" s="69">
        <v>1121100</v>
      </c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7"/>
    </row>
    <row r="23" spans="1:74" ht="30.75" customHeight="1" x14ac:dyDescent="0.25">
      <c r="A23" s="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BP23" s="3"/>
      <c r="BQ23" s="3"/>
      <c r="BR23" s="3"/>
      <c r="BS23" s="3"/>
      <c r="BT23" s="3"/>
      <c r="BU23" s="3"/>
      <c r="BV23" s="7"/>
    </row>
    <row r="24" spans="1:74" ht="30.75" customHeight="1" x14ac:dyDescent="0.25">
      <c r="A24" s="6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42" t="s">
        <v>7</v>
      </c>
      <c r="AY24" s="48" t="s">
        <v>48</v>
      </c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2" t="s">
        <v>8</v>
      </c>
      <c r="BP24" s="3"/>
      <c r="BQ24" s="3"/>
      <c r="BR24" s="3"/>
      <c r="BS24" s="3"/>
      <c r="BT24" s="3"/>
      <c r="BU24" s="3"/>
      <c r="BV24" s="7"/>
    </row>
    <row r="25" spans="1:74" ht="30.75" customHeight="1" x14ac:dyDescent="0.25">
      <c r="A25" s="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46" t="s">
        <v>52</v>
      </c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3"/>
      <c r="BQ25" s="3"/>
      <c r="BR25" s="3"/>
      <c r="BS25" s="3"/>
      <c r="BT25" s="3"/>
      <c r="BU25" s="3"/>
      <c r="BV25" s="7"/>
    </row>
    <row r="26" spans="1:74" ht="32.25" customHeight="1" thickBot="1" x14ac:dyDescent="0.3">
      <c r="A26" s="8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9"/>
    </row>
    <row r="27" spans="1:74" ht="30.75" customHeight="1" thickTop="1" x14ac:dyDescent="0.3">
      <c r="BN27" s="47" t="s">
        <v>53</v>
      </c>
      <c r="BO27" s="47"/>
      <c r="BP27" s="47"/>
      <c r="BQ27" s="47"/>
      <c r="BR27" s="47"/>
      <c r="BS27" s="47"/>
      <c r="BT27" s="47"/>
      <c r="BU27" s="47"/>
      <c r="BV27" s="47"/>
    </row>
  </sheetData>
  <mergeCells count="20">
    <mergeCell ref="C11:O12"/>
    <mergeCell ref="P11:P12"/>
    <mergeCell ref="A1:Y5"/>
    <mergeCell ref="Z1:BV2"/>
    <mergeCell ref="Z3:BV5"/>
    <mergeCell ref="C7:E7"/>
    <mergeCell ref="F7:O7"/>
    <mergeCell ref="Q7:BT8"/>
    <mergeCell ref="Q9:BT9"/>
    <mergeCell ref="Q14:BT14"/>
    <mergeCell ref="AX25:BO25"/>
    <mergeCell ref="BN27:BV27"/>
    <mergeCell ref="AY24:BN24"/>
    <mergeCell ref="Q11:BT12"/>
    <mergeCell ref="C15:BT15"/>
    <mergeCell ref="C16:BT16"/>
    <mergeCell ref="C17:BT17"/>
    <mergeCell ref="C22:F22"/>
    <mergeCell ref="G22:V22"/>
    <mergeCell ref="AW20:BP20"/>
  </mergeCells>
  <pageMargins left="0.7" right="0.39" top="0.75" bottom="0.75" header="0.3" footer="0.3"/>
  <pageSetup paperSize="9" scale="47" fitToHeight="0"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4"/>
  <sheetViews>
    <sheetView showGridLines="0" showRowColHeaders="0" zoomScale="85" zoomScaleNormal="85" workbookViewId="0">
      <selection activeCell="P17" sqref="P17"/>
    </sheetView>
  </sheetViews>
  <sheetFormatPr defaultRowHeight="15" zeroHeight="1" x14ac:dyDescent="0.25"/>
  <cols>
    <col min="1" max="1" width="9.140625" style="14"/>
    <col min="2" max="2" width="24" style="14" bestFit="1" customWidth="1"/>
    <col min="3" max="6" width="24.140625" style="15" customWidth="1"/>
    <col min="7" max="16384" width="9.140625" style="14"/>
  </cols>
  <sheetData>
    <row r="1" spans="2:6" ht="27.75" x14ac:dyDescent="0.45">
      <c r="B1" s="73" t="s">
        <v>9</v>
      </c>
      <c r="C1" s="73"/>
      <c r="D1" s="73"/>
      <c r="E1" s="73"/>
      <c r="F1" s="73"/>
    </row>
    <row r="2" spans="2:6" x14ac:dyDescent="0.25"/>
    <row r="3" spans="2:6" ht="19.5" x14ac:dyDescent="0.25">
      <c r="B3" s="16" t="s">
        <v>10</v>
      </c>
      <c r="C3" s="17">
        <f>nilai</f>
        <v>1121100</v>
      </c>
      <c r="D3" s="18"/>
      <c r="E3" s="18"/>
      <c r="F3" s="18"/>
    </row>
    <row r="4" spans="2:6" x14ac:dyDescent="0.25">
      <c r="B4" s="74" t="s">
        <v>11</v>
      </c>
      <c r="C4" s="75" t="str">
        <f>TRIM(C17&amp;" "&amp;D17&amp;" "&amp;E17&amp;" "&amp;F17)</f>
        <v>satu juta seratus dua puluh satu ribu seratus</v>
      </c>
      <c r="D4" s="75"/>
      <c r="E4" s="75"/>
      <c r="F4" s="75"/>
    </row>
    <row r="5" spans="2:6" x14ac:dyDescent="0.25">
      <c r="B5" s="74"/>
      <c r="C5" s="75"/>
      <c r="D5" s="75"/>
      <c r="E5" s="75"/>
      <c r="F5" s="75"/>
    </row>
    <row r="6" spans="2:6" x14ac:dyDescent="0.25">
      <c r="B6" s="74"/>
      <c r="C6" s="75"/>
      <c r="D6" s="75"/>
      <c r="E6" s="75"/>
      <c r="F6" s="75"/>
    </row>
    <row r="7" spans="2:6" x14ac:dyDescent="0.25"/>
    <row r="8" spans="2:6" ht="15.75" thickBot="1" x14ac:dyDescent="0.3"/>
    <row r="9" spans="2:6" ht="33" thickTop="1" thickBot="1" x14ac:dyDescent="0.3">
      <c r="B9" s="19" t="s">
        <v>12</v>
      </c>
      <c r="C9" s="20" t="s">
        <v>13</v>
      </c>
      <c r="D9" s="20" t="s">
        <v>14</v>
      </c>
      <c r="E9" s="21" t="s">
        <v>15</v>
      </c>
      <c r="F9" s="22" t="s">
        <v>16</v>
      </c>
    </row>
    <row r="10" spans="2:6" ht="16.5" thickTop="1" thickBot="1" x14ac:dyDescent="0.3">
      <c r="B10" s="23" t="s">
        <v>17</v>
      </c>
      <c r="C10" s="24">
        <v>1</v>
      </c>
      <c r="D10" s="24">
        <v>4</v>
      </c>
      <c r="E10" s="24">
        <v>7</v>
      </c>
      <c r="F10" s="25">
        <v>10</v>
      </c>
    </row>
    <row r="11" spans="2:6" ht="16.5" thickTop="1" thickBot="1" x14ac:dyDescent="0.3">
      <c r="B11" s="26" t="s">
        <v>18</v>
      </c>
      <c r="C11" s="27">
        <v>3</v>
      </c>
      <c r="D11" s="27">
        <v>3</v>
      </c>
      <c r="E11" s="27">
        <v>3</v>
      </c>
      <c r="F11" s="28">
        <v>3</v>
      </c>
    </row>
    <row r="12" spans="2:6" ht="16.5" thickTop="1" thickBot="1" x14ac:dyDescent="0.3">
      <c r="B12" s="29" t="s">
        <v>19</v>
      </c>
      <c r="C12" s="30">
        <f>--MID(TEXT(TRUNC(N($C$3),0),REPT(0,12)),C10,C11)</f>
        <v>0</v>
      </c>
      <c r="D12" s="30">
        <f t="shared" ref="D12:E12" si="0">--MID(TEXT(TRUNC(N($C$3),0),REPT(0,12)),D10,D11)</f>
        <v>1</v>
      </c>
      <c r="E12" s="30">
        <f t="shared" si="0"/>
        <v>121</v>
      </c>
      <c r="F12" s="31">
        <f>--MID(TEXT(TRUNC(N($C$3),0),REPT(0,12)),F10,F11)</f>
        <v>100</v>
      </c>
    </row>
    <row r="13" spans="2:6" ht="15.75" thickTop="1" x14ac:dyDescent="0.25">
      <c r="B13" s="32" t="s">
        <v>20</v>
      </c>
      <c r="C13" s="33">
        <f>N("Ambil angka Milyar")
+--MID(TEXT(N(C$12),REPT(0,3)),1,1)</f>
        <v>0</v>
      </c>
      <c r="D13" s="33">
        <f>--MID(TEXT(N(D$12),REPT(0,3)),1,1)</f>
        <v>0</v>
      </c>
      <c r="E13" s="33">
        <f>--MID(TEXT(N(E$12),REPT(0,3)),1,1)</f>
        <v>1</v>
      </c>
      <c r="F13" s="33">
        <f>--MID(TEXT(N(F$12),REPT(0,3)),1,1)</f>
        <v>1</v>
      </c>
    </row>
    <row r="14" spans="2:6" x14ac:dyDescent="0.25">
      <c r="B14" s="34" t="s">
        <v>21</v>
      </c>
      <c r="C14" s="35">
        <f>N("Bila digit pertama angka puluhan &gt; 1 MAKA hasilkan 1 digit angka depannya BILA TIDAK hasilkan Nol")
+IF(--MID(TEXT(N(C$12),REPT(0,3)),2,1)&gt;1,--MID(TEXT(N(C$12),REPT(0,3)),2,1),0)</f>
        <v>0</v>
      </c>
      <c r="D14" s="35">
        <f>N("Bila digit pertama angka puluhan &gt; 1 MAKA hasilkan 1 digit angka depannya BILA TIDAK hasilkan Nol")
+IF(--MID(TEXT(N(D$12),REPT(0,3)),2,1)&gt;1,--MID(TEXT(N(D$12),REPT(0,3)),2,1),0)</f>
        <v>0</v>
      </c>
      <c r="E14" s="35">
        <f>N("Bila digit pertama angka puluhan &gt; 1 MAKA hasilkan 1 digit angka depannya BILA TIDAK hasilkan Nol")
+IF(--MID(TEXT(N(E$12),REPT(0,3)),2,1)&gt;1,--MID(TEXT(N(E$12),REPT(0,3)),2,1),0)</f>
        <v>2</v>
      </c>
      <c r="F14" s="35">
        <f>N("Bila digit pertama angka puluhan &gt; 1 MAKA hasilkan 1 digit angka depannya BILA TIDAK hasilkan Nol")
+IF(--MID(TEXT(N(F$12),REPT(0,3)),2,1)&gt;1,--MID(TEXT(N(F$12),REPT(0,3)),2,1),0)</f>
        <v>0</v>
      </c>
    </row>
    <row r="15" spans="2:6" x14ac:dyDescent="0.25">
      <c r="B15" s="34" t="s">
        <v>22</v>
      </c>
      <c r="C15" s="35">
        <f>N("Bila 2 digit terakhir &gt; 19 MAKA hasilkan 1 digit terakhir BILA TIDAK hasilkan 2 digit terakhir")
+IF(--MID(TEXT(N(C$12),REPT(0,3)),2,2)&gt;19,--MID(TEXT(N(C$12),REPT(0,3)),3,1),--MID(TEXT(N(C$12),REPT(0,3)),2,2))</f>
        <v>0</v>
      </c>
      <c r="D15" s="35">
        <f>N("Bila 2 digit terakhir &gt; 19 MAKA hasilkan 1 digit terakhir BILA TIDAK hasilkan 2 digit terakhir")
+IF(--MID(TEXT(N(D$12),REPT(0,3)),2,2)&gt;19,--MID(TEXT(N(D$12),REPT(0,3)),3,1),--MID(TEXT(N(D$12),REPT(0,3)),2,2))</f>
        <v>1</v>
      </c>
      <c r="E15" s="35">
        <f>N("Bila 2 digit terakhir &gt; 19 MAKA hasilkan 1 digit terakhir BILA TIDAK hasilkan 2 digit terakhir")
+IF(--MID(TEXT(N(E$12),REPT(0,3)),2,2)&gt;19,--MID(TEXT(N(E$12),REPT(0,3)),3,1),--MID(TEXT(N(E$12),REPT(0,3)),2,2))</f>
        <v>1</v>
      </c>
      <c r="F15" s="35">
        <f>N("Bila 2 digit terakhir &gt; 19 MAKA hasilkan 1 digit terakhir BILA TIDAK hasilkan 2 digit terakhir")
+IF(--MID(TEXT(N(F$12),REPT(0,3)),2,2)&gt;19,--MID(TEXT(N(F$12),REPT(0,3)),3,1),--MID(TEXT(N(F$12),REPT(0,3)),2,2))</f>
        <v>0</v>
      </c>
    </row>
    <row r="16" spans="2:6" ht="49.5" customHeight="1" x14ac:dyDescent="0.25">
      <c r="B16" s="36" t="s">
        <v>23</v>
      </c>
      <c r="C16" s="37" t="str">
        <f>IF(C13=0," ",VLOOKUP(C13,tblTerbilang[],2,0)&amp;" ratus ")
&amp;IF(C14=0," ",VLOOKUP(C14,tblTerbilang[],2,0)&amp;" puluh ")
&amp;IF(C15=0," ",VLOOKUP(C15,tblTerbilang[],2,0))
&amp;IF(SUM(C13:C15)=0," "," milyar ")</f>
        <v xml:space="preserve">    </v>
      </c>
      <c r="D16" s="37" t="str">
        <f>IF(D13=0," ",VLOOKUP(D13,tblTerbilang[],2,0)&amp;" ratus ")
&amp;IF(D14=0," ",VLOOKUP(D14,tblTerbilang[],2,0)&amp;" puluh ")
&amp;IF(D15=0," ",VLOOKUP(D15,tblTerbilang[],2,0))
&amp;IF(SUM(D13:D15)=0," "," juta ")</f>
        <v xml:space="preserve">  satu juta </v>
      </c>
      <c r="E16" s="37" t="str">
        <f>IF(E13=0," ",VLOOKUP(E13,tblTerbilang[],2,0)&amp;" ratus ")
&amp;IF(E14=0," ",VLOOKUP(E14,tblTerbilang[],2,0)&amp;" puluh ")
&amp;IF(E15=0," ",VLOOKUP(E15,tblTerbilang[],2,0))
&amp;IF(SUM(E13:E15)=0," "," ribu ")</f>
        <v xml:space="preserve">satu ratus dua puluh satu ribu </v>
      </c>
      <c r="F16" s="37" t="str">
        <f>IF(F13=0," ",VLOOKUP(F13,tblTerbilang[],2,0)&amp;" ratus ")
&amp;IF(F14=0," ",VLOOKUP(F14,tblTerbilang[],2,0)&amp;" puluh ")
&amp;IF(F15=0," ",VLOOKUP(F15,tblTerbilang[],2,0)&amp;" ")</f>
        <v xml:space="preserve">satu ratus   </v>
      </c>
    </row>
    <row r="17" spans="2:6" ht="49.5" customHeight="1" x14ac:dyDescent="0.25">
      <c r="B17" s="38" t="s">
        <v>24</v>
      </c>
      <c r="C17" s="39" t="str">
        <f>TRIM(SUBSTITUTE(SUBSTITUTE(IF(C12=1,SUBSTITUTE(TRIM(C16),"satu ribu"," seribu "),TRIM(C16)),"satu ratus"," seratus "),"satu puluh"," sepuluh "))</f>
        <v/>
      </c>
      <c r="D17" s="39" t="str">
        <f>TRIM(SUBSTITUTE(SUBSTITUTE(IF(D12=1,SUBSTITUTE(TRIM(D16),"satu ribu"," seribu "),TRIM(D16)),"satu ratus"," seratus "),"satu puluh"," sepuluh "))</f>
        <v>satu juta</v>
      </c>
      <c r="E17" s="39" t="str">
        <f>TRIM(SUBSTITUTE(SUBSTITUTE(IF(E12=1,SUBSTITUTE(TRIM(E16),"satu ribu"," seribu "),TRIM(E16)),"satu ratus"," seratus "),"satu puluh"," sepuluh "))</f>
        <v>seratus dua puluh satu ribu</v>
      </c>
      <c r="F17" s="39" t="str">
        <f>TRIM(SUBSTITUTE(SUBSTITUTE(IF(F12=1,SUBSTITUTE(TRIM(F16),"satu ribu"," seribu "),TRIM(F16)),"satu ratus"," seratus "),"satu puluh"," sepuluh "))</f>
        <v>seratus</v>
      </c>
    </row>
    <row r="18" spans="2:6" x14ac:dyDescent="0.25"/>
    <row r="19" spans="2:6" x14ac:dyDescent="0.25"/>
    <row r="20" spans="2:6" x14ac:dyDescent="0.25"/>
    <row r="21" spans="2:6" hidden="1" x14ac:dyDescent="0.25"/>
    <row r="22" spans="2:6" hidden="1" x14ac:dyDescent="0.25"/>
    <row r="23" spans="2:6" hidden="1" x14ac:dyDescent="0.25"/>
    <row r="24" spans="2:6" hidden="1" x14ac:dyDescent="0.25">
      <c r="B24" s="40" t="s">
        <v>25</v>
      </c>
      <c r="C24" s="41" t="s">
        <v>11</v>
      </c>
    </row>
    <row r="25" spans="2:6" hidden="1" x14ac:dyDescent="0.25">
      <c r="B25" s="14">
        <v>0</v>
      </c>
    </row>
    <row r="26" spans="2:6" hidden="1" x14ac:dyDescent="0.25">
      <c r="B26" s="14">
        <v>1</v>
      </c>
      <c r="C26" s="15" t="s">
        <v>26</v>
      </c>
    </row>
    <row r="27" spans="2:6" hidden="1" x14ac:dyDescent="0.25">
      <c r="B27" s="14">
        <v>2</v>
      </c>
      <c r="C27" s="15" t="s">
        <v>27</v>
      </c>
    </row>
    <row r="28" spans="2:6" hidden="1" x14ac:dyDescent="0.25">
      <c r="B28" s="14">
        <v>3</v>
      </c>
      <c r="C28" s="15" t="s">
        <v>28</v>
      </c>
    </row>
    <row r="29" spans="2:6" hidden="1" x14ac:dyDescent="0.25">
      <c r="B29" s="14">
        <v>4</v>
      </c>
      <c r="C29" s="15" t="s">
        <v>29</v>
      </c>
    </row>
    <row r="30" spans="2:6" hidden="1" x14ac:dyDescent="0.25">
      <c r="B30" s="14">
        <v>5</v>
      </c>
      <c r="C30" s="15" t="s">
        <v>30</v>
      </c>
    </row>
    <row r="31" spans="2:6" hidden="1" x14ac:dyDescent="0.25">
      <c r="B31" s="14">
        <v>6</v>
      </c>
      <c r="C31" s="15" t="s">
        <v>31</v>
      </c>
    </row>
    <row r="32" spans="2:6" hidden="1" x14ac:dyDescent="0.25">
      <c r="B32" s="14">
        <v>7</v>
      </c>
      <c r="C32" s="15" t="s">
        <v>32</v>
      </c>
    </row>
    <row r="33" spans="2:3" hidden="1" x14ac:dyDescent="0.25">
      <c r="B33" s="14">
        <v>8</v>
      </c>
      <c r="C33" s="15" t="s">
        <v>33</v>
      </c>
    </row>
    <row r="34" spans="2:3" hidden="1" x14ac:dyDescent="0.25">
      <c r="B34" s="14">
        <v>9</v>
      </c>
      <c r="C34" s="15" t="s">
        <v>34</v>
      </c>
    </row>
    <row r="35" spans="2:3" hidden="1" x14ac:dyDescent="0.25">
      <c r="B35" s="14">
        <v>10</v>
      </c>
      <c r="C35" s="15" t="s">
        <v>35</v>
      </c>
    </row>
    <row r="36" spans="2:3" hidden="1" x14ac:dyDescent="0.25">
      <c r="B36" s="14">
        <v>11</v>
      </c>
      <c r="C36" s="15" t="s">
        <v>36</v>
      </c>
    </row>
    <row r="37" spans="2:3" hidden="1" x14ac:dyDescent="0.25">
      <c r="B37" s="14">
        <v>12</v>
      </c>
      <c r="C37" s="15" t="s">
        <v>37</v>
      </c>
    </row>
    <row r="38" spans="2:3" hidden="1" x14ac:dyDescent="0.25">
      <c r="B38" s="14">
        <v>13</v>
      </c>
      <c r="C38" s="15" t="s">
        <v>38</v>
      </c>
    </row>
    <row r="39" spans="2:3" hidden="1" x14ac:dyDescent="0.25">
      <c r="B39" s="14">
        <v>14</v>
      </c>
      <c r="C39" s="15" t="s">
        <v>39</v>
      </c>
    </row>
    <row r="40" spans="2:3" hidden="1" x14ac:dyDescent="0.25">
      <c r="B40" s="14">
        <v>15</v>
      </c>
      <c r="C40" s="15" t="s">
        <v>40</v>
      </c>
    </row>
    <row r="41" spans="2:3" hidden="1" x14ac:dyDescent="0.25">
      <c r="B41" s="14">
        <v>16</v>
      </c>
      <c r="C41" s="15" t="s">
        <v>41</v>
      </c>
    </row>
    <row r="42" spans="2:3" hidden="1" x14ac:dyDescent="0.25">
      <c r="B42" s="14">
        <v>17</v>
      </c>
      <c r="C42" s="15" t="s">
        <v>42</v>
      </c>
    </row>
    <row r="43" spans="2:3" hidden="1" x14ac:dyDescent="0.25">
      <c r="B43" s="14">
        <v>18</v>
      </c>
      <c r="C43" s="15" t="s">
        <v>43</v>
      </c>
    </row>
    <row r="44" spans="2:3" hidden="1" x14ac:dyDescent="0.25">
      <c r="B44" s="14">
        <v>19</v>
      </c>
      <c r="C44" s="15" t="s">
        <v>44</v>
      </c>
    </row>
  </sheetData>
  <sheetProtection sheet="1" objects="1" scenarios="1"/>
  <mergeCells count="3">
    <mergeCell ref="B1:F1"/>
    <mergeCell ref="B4:B6"/>
    <mergeCell ref="C4:F6"/>
  </mergeCells>
  <pageMargins left="0.7" right="0.7" top="0.75" bottom="0.75" header="0.3" footer="0.3"/>
  <pageSetup orientation="portrait" horizontalDpi="300" verticalDpi="300" r:id="rId1"/>
  <picture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Kuitansi (terbilang)</vt:lpstr>
      <vt:lpstr>Rumus Terbilang</vt:lpstr>
      <vt:lpstr>nilai</vt:lpstr>
      <vt:lpstr>'Kuitansi (terbilang)'!Print_Area</vt:lpstr>
    </vt:vector>
  </TitlesOfParts>
  <Company>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Kwitansi Excel (Rumus Terbilang)</dc:title>
  <dc:creator>Excelku.com</dc:creator>
  <cp:lastModifiedBy>user</cp:lastModifiedBy>
  <cp:lastPrinted>2014-12-25T08:14:14Z</cp:lastPrinted>
  <dcterms:created xsi:type="dcterms:W3CDTF">2014-12-25T06:07:17Z</dcterms:created>
  <dcterms:modified xsi:type="dcterms:W3CDTF">2015-10-19T15:18:32Z</dcterms:modified>
</cp:coreProperties>
</file>